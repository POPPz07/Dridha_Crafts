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ssumptions" sheetId="2" r:id="rId5"/>
    <sheet state="visible" name="Per Item" sheetId="3" r:id="rId6"/>
    <sheet state="visible" name="Bundles" sheetId="4" r:id="rId7"/>
    <sheet state="visible" name="Rate Check" sheetId="5" r:id="rId8"/>
  </sheets>
  <definedNames/>
  <calcPr/>
</workbook>
</file>

<file path=xl/sharedStrings.xml><?xml version="1.0" encoding="utf-8"?>
<sst xmlns="http://schemas.openxmlformats.org/spreadsheetml/2006/main" count="142" uniqueCount="103">
  <si>
    <t>ErgoMatrix Deskscape – Costing Summary (every cost shown separately)</t>
  </si>
  <si>
    <t>Classic finish · free shipping · woodworker paid a fixed rate per piece · profit is before ads, photos and GST registration</t>
  </si>
  <si>
    <t>Item</t>
  </si>
  <si>
    <t>Selling price</t>
  </si>
  <si>
    <t>Woodworker rate</t>
  </si>
  <si>
    <t>Speed Post to Pune</t>
  </si>
  <si>
    <t>Finishing (oil, wax, sandpaper)</t>
  </si>
  <si>
    <t>Packing in Pune</t>
  </si>
  <si>
    <t>Shiprocket to customer (incl. GST)</t>
  </si>
  <si>
    <t>Payment fees &amp; returns</t>
  </si>
  <si>
    <t>Total cost</t>
  </si>
  <si>
    <t>Profit</t>
  </si>
  <si>
    <t>Margin</t>
  </si>
  <si>
    <t>Profit after ad cost</t>
  </si>
  <si>
    <t>One of each</t>
  </si>
  <si>
    <t>Bundle</t>
  </si>
  <si>
    <t>Caveats</t>
  </si>
  <si>
    <t>• Courier rates were re-checked – see 'Rate Check'. 18% GST is included in Speed Post and Shiprocket figures.</t>
  </si>
  <si>
    <t>• Woodworker rates, weights, finishing and packing are estimates, not quotes. Update the blue cells on 'Assumptions' with real figures.</t>
  </si>
  <si>
    <t>• Not included: ads/photos (see last column), samples, COD fees, return shipping, GST registration, your own time.</t>
  </si>
  <si>
    <t>• On paid ads, the tablet stand, mobile stand and cable holder are break-even or loss-making – sell them mainly in bundles.</t>
  </si>
  <si>
    <t>ErgoMatrix Deskscape – Assumptions (edit blue cells on yellow)</t>
  </si>
  <si>
    <t>All other sheets recalculate from this sheet. Figures marked 'estimate' are my guesses, not quotes.</t>
  </si>
  <si>
    <t>Rate / cost input</t>
  </si>
  <si>
    <t>Value</t>
  </si>
  <si>
    <t>Basis</t>
  </si>
  <si>
    <t>Speed Post – first 500 g (Srinagar→Pune, '&gt;2,000 km' slab, ex-GST)</t>
  </si>
  <si>
    <t>Old India Post tariff table: 201–500 g, &gt;2,000 km = ₹90 (conservative slab; verify with India Post calculator)</t>
  </si>
  <si>
    <t>Speed Post – each extra 500 g (ex-GST)</t>
  </si>
  <si>
    <t>Up to ₹50 per extra 500 g above 2,000 km (Shiprocket blog on Speed Post charges)</t>
  </si>
  <si>
    <t>GST on courier / postal charges</t>
  </si>
  <si>
    <t>Tariffs are quoted excluding taxes; 18% GST assumed</t>
  </si>
  <si>
    <t>Shiprocket – first 500 g, Rest of India (ex-GST)</t>
  </si>
  <si>
    <t>Indicative ROI retail band ₹45–70 (ShipPrime, Jul 2026); aggregator entry rates can be lower</t>
  </si>
  <si>
    <t>Shiprocket – each extra 500 g (ex-GST)</t>
  </si>
  <si>
    <t>ShipPrime indicative ROI rate card example: ₹50 base + ₹40 per extra 500 g</t>
  </si>
  <si>
    <t>Payment fees + returns/breakage (% of selling price)</t>
  </si>
  <si>
    <t>Estimate: ~2% gateway + ~4% returns/breakage</t>
  </si>
  <si>
    <t>Packed-weight multiplier for woodworker's consignment</t>
  </si>
  <si>
    <t>Estimate: his cartons/wrap add ~20% to item weight</t>
  </si>
  <si>
    <t>Ad cost per order (sensitivity only)</t>
  </si>
  <si>
    <t>Estimate: ₹150–250 per order from Instagram ads</t>
  </si>
  <si>
    <t>Courier weight slab size (kg)</t>
  </si>
  <si>
    <t>Both Speed Post and Shiprocket bill in 500 g slabs</t>
  </si>
  <si>
    <t>Per-item inputs (Classic finish)</t>
  </si>
  <si>
    <t>Woodworker fixed rate</t>
  </si>
  <si>
    <t>Item weight (kg)</t>
  </si>
  <si>
    <t>Packed weight to customer (kg)</t>
  </si>
  <si>
    <t>Finishing cost (oil, wax, sandpaper)</t>
  </si>
  <si>
    <t>Packing cost in Pune (box, wrap, tape, card)</t>
  </si>
  <si>
    <t>Laptop stand</t>
  </si>
  <si>
    <t>Headphone stand</t>
  </si>
  <si>
    <t>Tablet stand</t>
  </si>
  <si>
    <t>Mobile stand</t>
  </si>
  <si>
    <t>Cable holder</t>
  </si>
  <si>
    <t>Notes: selling prices are my suggested Classic prices; woodworker rates are my suggestion, not his quote; weights, finishing and packing are estimates. Replace with real figures after your sample batch.</t>
  </si>
  <si>
    <t>Bundle inputs</t>
  </si>
  <si>
    <t>Packing cost in Pune</t>
  </si>
  <si>
    <t>Work-from-home set (laptop + mobile + cable holder)</t>
  </si>
  <si>
    <t>Full set (all 5 items)</t>
  </si>
  <si>
    <t>Per-item costing – Classic finish, one item per order, free shipping</t>
  </si>
  <si>
    <t>Inbound consignment (1 of each item) – total packed weight (kg)</t>
  </si>
  <si>
    <t>Courier slabs (500 g)</t>
  </si>
  <si>
    <t>Speed Post cost for the consignment (incl. GST)</t>
  </si>
  <si>
    <t>Speed Post to Pune (share by weight)</t>
  </si>
  <si>
    <t>Finishing</t>
  </si>
  <si>
    <t>Shiprocket slabs (500 g)</t>
  </si>
  <si>
    <t>Fees &amp; returns</t>
  </si>
  <si>
    <t>Column M subtracts the ad cost per order from Assumptions!B11. Negative = loses money if the order came from paid ads.</t>
  </si>
  <si>
    <t>Bundle costing – one parcel to the customer</t>
  </si>
  <si>
    <t>Speed Post to Pune (share)</t>
  </si>
  <si>
    <t>Compare: selling the same items separately (from 'Per Item')</t>
  </si>
  <si>
    <t>Work-from-home items sold separately – total profit</t>
  </si>
  <si>
    <t>Full set items sold separately – total profit</t>
  </si>
  <si>
    <t>Rate re-check (searched 19 Oct 2026)</t>
  </si>
  <si>
    <t>What I said before</t>
  </si>
  <si>
    <t>What sources show now</t>
  </si>
  <si>
    <t>Used in this workbook</t>
  </si>
  <si>
    <t>Speed Post, 1 kg, above 2,000 km</t>
  </si>
  <si>
    <t>~₹130–180 (first kg) plus ~₹100 per extra kg</t>
  </si>
  <si>
    <t>ClickPost: ₹130–140 per 1 kg. iThink: ₹170–180 first kg, then ~₹100–110/kg. Extra 500 g: up to ₹50 (Shiprocket blog). Tariffs exclude GST.</t>
  </si>
  <si>
    <t>₹90 first 500 g + ₹50 per extra 500 g (=₹140 per kg) + 18% GST</t>
  </si>
  <si>
    <t>Speed Post distance slab</t>
  </si>
  <si>
    <t>Assumed '&gt;2,000 km'</t>
  </si>
  <si>
    <t>Slab depends on distance. Srinagar–Pune is roughly 1,700 km in a straight line and more by road, so it may fall in the cheaper 1,001–2,000 km slab. Not confirmed.</t>
  </si>
  <si>
    <t>Higher slab used (conservative). Check pin-code to pin-code on India Post's calculator.</t>
  </si>
  <si>
    <t>Speed Post loss/damage cover</t>
  </si>
  <si>
    <t>Double the charges or ₹1,000</t>
  </si>
  <si>
    <t>India Post: double the Speed Post charges or ₹1,000, whichever is less.</t>
  </si>
  <si>
    <t>Not costed – insure or use a courier with declared value for larger batches.</t>
  </si>
  <si>
    <t>Shiprocket, first 500 g (Rest of India)</t>
  </si>
  <si>
    <t>₹70–125 per parcel</t>
  </si>
  <si>
    <t>ShipPrime (Jul 2026): ROI first 500 g ₹45–70; example ₹50 + ₹40 per extra 500 g. Aggregator entry rates start ~₹20–27 per 500 g. 18% GST extra.</t>
  </si>
  <si>
    <t>₹50 + ₹40 per extra 500 g + 18% GST (=₹59 for 0.5 kg, ₹106 for 1 kg, ₹153 for 1.5 kg)</t>
  </si>
  <si>
    <t>Shiprocket extras not in model</t>
  </si>
  <si>
    <t>Not mentioned</t>
  </si>
  <si>
    <t>COD fee (e.g. ₹30–50 per order), return-to-origin charges, volumetric weight for big boxes, higher rates for J&amp;K, North-East, Kerala and Himachal (Zone E).</t>
  </si>
  <si>
    <t>Excluded – raise the courier inputs if many orders are COD or remote.</t>
  </si>
  <si>
    <t>Packing boxes</t>
  </si>
  <si>
    <t>5-ply box ₹7–36</t>
  </si>
  <si>
    <t>IndiaMART listings: 5-ply corrugated boxes ₹7–36 each; a 500×300×250 mm 5-ply box ₹36; kraft bubble wrap roll 15 in × 100 m ₹400.</t>
  </si>
  <si>
    <t>Packing per item: ₹25–58 (box + wrap + tape + card) – estimate</t>
  </si>
  <si>
    <t>Sources: Shiprocket blog 'Speed Post charges'; iThink Logistics Speed Post guide; ClickPost India Post charges; India Post Speed Post Parcel page; ShipPrime shipping-cost guide (20 Jul 2026); IndiaMART packaging listings.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</si>
</sst>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;&quot;(₹&quot;#,##0\);\-"/>
    <numFmt numFmtId="165" formatCode="0.0%"/>
  </numFmts>
  <fonts count="7">
    <font>
      <sz val="11.0"/>
      <color/>
      <name val="Arial"/>
      <scheme val="minor"/>
    </font>
    <font>
      <b/>
      <sz val="14.0"/>
      <name val="Arial"/>
    </font>
    <font>
      <i/>
      <sz val="9.0"/>
      <name val="Arial"/>
    </font>
    <font>
      <b/>
      <sz val="10.0"/>
      <color rgb="FFFFFFFF"/>
      <name val="Arial"/>
    </font>
    <font>
      <sz val="10.0"/>
      <name val="Arial"/>
    </font>
    <font>
      <b/>
      <sz val="10.0"/>
      <name val="Arial"/>
    </font>
    <font>
      <sz val="10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A1E"/>
        <bgColor rgb="FF5B3A1E"/>
      </patternFill>
    </fill>
    <fill>
      <patternFill patternType="solid">
        <fgColor rgb="FFEADBC8"/>
        <bgColor rgb="FFEADBC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3" fontId="5" numFmtId="164" xfId="0" applyAlignment="1" applyBorder="1" applyFill="1" applyFont="1" applyNumberFormat="1">
      <alignment shrinkToFit="0" vertical="bottom" wrapText="0"/>
    </xf>
    <xf borderId="1" fillId="3" fontId="5" numFmtId="165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4" fontId="6" numFmtId="164" xfId="0" applyAlignment="1" applyBorder="1" applyFill="1" applyFont="1" applyNumberForma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4" fontId="6" numFmtId="165" xfId="0" applyAlignment="1" applyBorder="1" applyFill="1" applyFont="1" applyNumberFormat="1">
      <alignment shrinkToFit="0" vertical="bottom" wrapText="0"/>
    </xf>
    <xf borderId="1" fillId="4" fontId="6" numFmtId="2" xfId="0" applyAlignment="1" applyBorder="1" applyFill="1" applyFont="1" applyNumberForma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1" fillId="0" fontId="4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12" width="15.0"/>
  </cols>
  <sheetData>
    <row r="1">
      <c r="A1" s="1" t="s">
        <v>0</v>
      </c>
    </row>
    <row r="2">
      <c r="A2" s="2" t="s">
        <v>1</v>
      </c>
    </row>
    <row r="4" ht="48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>
      <c r="A5" s="4" t="str">
        <f>'Per Item'!A9</f>
        <v>Laptop stand</v>
      </c>
      <c r="B5" s="5" t="str">
        <f>'Per Item'!B9</f>
        <v>₹699</v>
      </c>
      <c r="C5" s="5" t="str">
        <f>'Per Item'!C9</f>
        <v>₹110</v>
      </c>
      <c r="D5" s="5" t="str">
        <f>'Per Item'!D9</f>
        <v>₹134</v>
      </c>
      <c r="E5" s="5" t="str">
        <f>'Per Item'!E9</f>
        <v>₹20</v>
      </c>
      <c r="F5" s="5" t="str">
        <f>'Per Item'!F9</f>
        <v>₹58</v>
      </c>
      <c r="G5" s="5" t="str">
        <f>'Per Item'!H9</f>
        <v>₹153</v>
      </c>
      <c r="H5" s="5" t="str">
        <f>'Per Item'!I9</f>
        <v>₹42</v>
      </c>
      <c r="I5" s="5" t="str">
        <f>'Per Item'!J9</f>
        <v>₹517</v>
      </c>
      <c r="J5" s="6" t="str">
        <f>'Per Item'!K9</f>
        <v>₹182</v>
      </c>
      <c r="K5" s="7" t="str">
        <f>'Per Item'!L9</f>
        <v>26.1%</v>
      </c>
      <c r="L5" s="5" t="str">
        <f>'Per Item'!M9</f>
        <v>₹32</v>
      </c>
    </row>
    <row r="6">
      <c r="A6" s="4" t="str">
        <f>'Per Item'!A10</f>
        <v>Headphone stand</v>
      </c>
      <c r="B6" s="5" t="str">
        <f>'Per Item'!B10</f>
        <v>₹549</v>
      </c>
      <c r="C6" s="5" t="str">
        <f>'Per Item'!C10</f>
        <v>₹90</v>
      </c>
      <c r="D6" s="5" t="str">
        <f>'Per Item'!D10</f>
        <v>₹83</v>
      </c>
      <c r="E6" s="5" t="str">
        <f>'Per Item'!E10</f>
        <v>₹20</v>
      </c>
      <c r="F6" s="5" t="str">
        <f>'Per Item'!F10</f>
        <v>₹43</v>
      </c>
      <c r="G6" s="5" t="str">
        <f>'Per Item'!H10</f>
        <v>₹106</v>
      </c>
      <c r="H6" s="5" t="str">
        <f>'Per Item'!I10</f>
        <v>₹33</v>
      </c>
      <c r="I6" s="5" t="str">
        <f>'Per Item'!J10</f>
        <v>₹376</v>
      </c>
      <c r="J6" s="6" t="str">
        <f>'Per Item'!K10</f>
        <v>₹173</v>
      </c>
      <c r="K6" s="7" t="str">
        <f>'Per Item'!L10</f>
        <v>31.6%</v>
      </c>
      <c r="L6" s="5" t="str">
        <f>'Per Item'!M10</f>
        <v>₹23</v>
      </c>
    </row>
    <row r="7">
      <c r="A7" s="4" t="str">
        <f>'Per Item'!A11</f>
        <v>Tablet stand</v>
      </c>
      <c r="B7" s="5" t="str">
        <f>'Per Item'!B11</f>
        <v>₹449</v>
      </c>
      <c r="C7" s="5" t="str">
        <f>'Per Item'!C11</f>
        <v>₹70</v>
      </c>
      <c r="D7" s="5" t="str">
        <f>'Per Item'!D11</f>
        <v>₹67</v>
      </c>
      <c r="E7" s="5" t="str">
        <f>'Per Item'!E11</f>
        <v>₹18</v>
      </c>
      <c r="F7" s="5" t="str">
        <f>'Per Item'!F11</f>
        <v>₹43</v>
      </c>
      <c r="G7" s="5" t="str">
        <f>'Per Item'!H11</f>
        <v>₹106</v>
      </c>
      <c r="H7" s="5" t="str">
        <f>'Per Item'!I11</f>
        <v>₹27</v>
      </c>
      <c r="I7" s="5" t="str">
        <f>'Per Item'!J11</f>
        <v>₹331</v>
      </c>
      <c r="J7" s="6" t="str">
        <f>'Per Item'!K11</f>
        <v>₹118</v>
      </c>
      <c r="K7" s="7" t="str">
        <f>'Per Item'!L11</f>
        <v>26.3%</v>
      </c>
      <c r="L7" s="5" t="str">
        <f>'Per Item'!M11</f>
        <v>(₹32)</v>
      </c>
    </row>
    <row r="8">
      <c r="A8" s="4" t="str">
        <f>'Per Item'!A12</f>
        <v>Mobile stand</v>
      </c>
      <c r="B8" s="5" t="str">
        <f>'Per Item'!B12</f>
        <v>₹349</v>
      </c>
      <c r="C8" s="5" t="str">
        <f>'Per Item'!C12</f>
        <v>₹60</v>
      </c>
      <c r="D8" s="5" t="str">
        <f>'Per Item'!D12</f>
        <v>₹33</v>
      </c>
      <c r="E8" s="5" t="str">
        <f>'Per Item'!E12</f>
        <v>₹15</v>
      </c>
      <c r="F8" s="5" t="str">
        <f>'Per Item'!F12</f>
        <v>₹25</v>
      </c>
      <c r="G8" s="5" t="str">
        <f>'Per Item'!H12</f>
        <v>₹59</v>
      </c>
      <c r="H8" s="5" t="str">
        <f>'Per Item'!I12</f>
        <v>₹21</v>
      </c>
      <c r="I8" s="5" t="str">
        <f>'Per Item'!J12</f>
        <v>₹213</v>
      </c>
      <c r="J8" s="6" t="str">
        <f>'Per Item'!K12</f>
        <v>₹136</v>
      </c>
      <c r="K8" s="7" t="str">
        <f>'Per Item'!L12</f>
        <v>38.9%</v>
      </c>
      <c r="L8" s="5" t="str">
        <f>'Per Item'!M12</f>
        <v>(₹14)</v>
      </c>
    </row>
    <row r="9">
      <c r="A9" s="4" t="str">
        <f>'Per Item'!A13</f>
        <v>Cable holder</v>
      </c>
      <c r="B9" s="5" t="str">
        <f>'Per Item'!B13</f>
        <v>₹299</v>
      </c>
      <c r="C9" s="5" t="str">
        <f>'Per Item'!C13</f>
        <v>₹60</v>
      </c>
      <c r="D9" s="5" t="str">
        <f>'Per Item'!D13</f>
        <v>₹25</v>
      </c>
      <c r="E9" s="5" t="str">
        <f>'Per Item'!E13</f>
        <v>₹12</v>
      </c>
      <c r="F9" s="5" t="str">
        <f>'Per Item'!F13</f>
        <v>₹25</v>
      </c>
      <c r="G9" s="5" t="str">
        <f>'Per Item'!H13</f>
        <v>₹59</v>
      </c>
      <c r="H9" s="5" t="str">
        <f>'Per Item'!I13</f>
        <v>₹18</v>
      </c>
      <c r="I9" s="5" t="str">
        <f>'Per Item'!J13</f>
        <v>₹199</v>
      </c>
      <c r="J9" s="6" t="str">
        <f>'Per Item'!K13</f>
        <v>₹100</v>
      </c>
      <c r="K9" s="7" t="str">
        <f>'Per Item'!L13</f>
        <v>33.5%</v>
      </c>
      <c r="L9" s="5" t="str">
        <f>'Per Item'!M13</f>
        <v>(₹50)</v>
      </c>
    </row>
    <row r="10">
      <c r="A10" s="8" t="s">
        <v>14</v>
      </c>
      <c r="B10" s="9" t="str">
        <f t="shared" ref="B10:J10" si="1">SUM(B5:B9)</f>
        <v>₹2,345</v>
      </c>
      <c r="C10" s="9" t="str">
        <f t="shared" si="1"/>
        <v>₹390</v>
      </c>
      <c r="D10" s="9" t="str">
        <f t="shared" si="1"/>
        <v>₹342</v>
      </c>
      <c r="E10" s="9" t="str">
        <f t="shared" si="1"/>
        <v>₹85</v>
      </c>
      <c r="F10" s="9" t="str">
        <f t="shared" si="1"/>
        <v>₹194</v>
      </c>
      <c r="G10" s="9" t="str">
        <f t="shared" si="1"/>
        <v>₹484</v>
      </c>
      <c r="H10" s="9" t="str">
        <f t="shared" si="1"/>
        <v>₹141</v>
      </c>
      <c r="I10" s="9" t="str">
        <f t="shared" si="1"/>
        <v>₹1,636</v>
      </c>
      <c r="J10" s="9" t="str">
        <f t="shared" si="1"/>
        <v>₹709</v>
      </c>
      <c r="K10" s="10" t="str">
        <f>IF(B10=0,0,J10/B10)</f>
        <v>30.2%</v>
      </c>
      <c r="L10" s="9" t="str">
        <f>SUM(L5:L9)</f>
        <v>(₹41)</v>
      </c>
    </row>
    <row r="12" ht="48.0" customHeight="1">
      <c r="A12" s="3" t="s">
        <v>15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J12" s="3" t="s">
        <v>11</v>
      </c>
      <c r="K12" s="3" t="s">
        <v>12</v>
      </c>
      <c r="L12" s="3" t="s">
        <v>13</v>
      </c>
    </row>
    <row r="13">
      <c r="A13" s="4" t="str">
        <f>Bundles!A4</f>
        <v>Work-from-home set (laptop + mobile + cable holder)</v>
      </c>
      <c r="B13" s="5" t="str">
        <f>Bundles!B4</f>
        <v>₹1,199</v>
      </c>
      <c r="C13" s="5" t="str">
        <f>Bundles!C4</f>
        <v>₹230</v>
      </c>
      <c r="D13" s="5" t="str">
        <f>Bundles!D4</f>
        <v>₹192</v>
      </c>
      <c r="E13" s="5" t="str">
        <f>Bundles!E4</f>
        <v>₹47</v>
      </c>
      <c r="F13" s="5" t="str">
        <f>Bundles!F4</f>
        <v>₹70</v>
      </c>
      <c r="G13" s="5" t="str">
        <f>Bundles!H4</f>
        <v>₹201</v>
      </c>
      <c r="H13" s="5" t="str">
        <f>Bundles!I4</f>
        <v>₹72</v>
      </c>
      <c r="I13" s="5" t="str">
        <f>Bundles!J4</f>
        <v>₹812</v>
      </c>
      <c r="J13" s="6" t="str">
        <f>Bundles!K4</f>
        <v>₹387</v>
      </c>
      <c r="K13" s="7" t="str">
        <f>Bundles!L4</f>
        <v>32.3%</v>
      </c>
      <c r="L13" s="5" t="str">
        <f>Bundles!M4</f>
        <v>₹237</v>
      </c>
    </row>
    <row r="14">
      <c r="A14" s="4" t="str">
        <f>Bundles!A5</f>
        <v>Full set (all 5 items)</v>
      </c>
      <c r="B14" s="5" t="str">
        <f>Bundles!B5</f>
        <v>₹2,299</v>
      </c>
      <c r="C14" s="5" t="str">
        <f>Bundles!C5</f>
        <v>₹390</v>
      </c>
      <c r="D14" s="5" t="str">
        <f>Bundles!D5</f>
        <v>₹342</v>
      </c>
      <c r="E14" s="5" t="str">
        <f>Bundles!E5</f>
        <v>₹85</v>
      </c>
      <c r="F14" s="5" t="str">
        <f>Bundles!F5</f>
        <v>₹110</v>
      </c>
      <c r="G14" s="5" t="str">
        <f>Bundles!H5</f>
        <v>₹295</v>
      </c>
      <c r="H14" s="5" t="str">
        <f>Bundles!I5</f>
        <v>₹138</v>
      </c>
      <c r="I14" s="5" t="str">
        <f>Bundles!J5</f>
        <v>₹1,360</v>
      </c>
      <c r="J14" s="6" t="str">
        <f>Bundles!K5</f>
        <v>₹939</v>
      </c>
      <c r="K14" s="7" t="str">
        <f>Bundles!L5</f>
        <v>40.8%</v>
      </c>
      <c r="L14" s="5" t="str">
        <f>Bundles!M5</f>
        <v>₹789</v>
      </c>
    </row>
    <row r="16">
      <c r="A16" s="11" t="s">
        <v>16</v>
      </c>
    </row>
    <row r="17">
      <c r="A17" s="12" t="s">
        <v>17</v>
      </c>
    </row>
    <row r="18">
      <c r="A18" s="12" t="s">
        <v>18</v>
      </c>
    </row>
    <row r="19">
      <c r="A19" s="12" t="s">
        <v>19</v>
      </c>
    </row>
    <row r="20">
      <c r="A20" s="1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6.0"/>
    <col customWidth="1" min="3" max="3" width="62.0"/>
    <col customWidth="1" min="4" max="4" width="16.0"/>
    <col customWidth="1" min="5" max="5" width="18.0"/>
    <col customWidth="1" min="6" max="6" width="20.0"/>
    <col customWidth="1" min="7" max="7" width="22.0"/>
    <col customWidth="1" min="8" max="11" width="8.71"/>
  </cols>
  <sheetData>
    <row r="1">
      <c r="A1" s="1" t="s">
        <v>21</v>
      </c>
    </row>
    <row r="2">
      <c r="A2" s="2" t="s">
        <v>22</v>
      </c>
    </row>
    <row r="3">
      <c r="A3" s="3" t="s">
        <v>23</v>
      </c>
      <c r="B3" s="3" t="s">
        <v>24</v>
      </c>
      <c r="C3" s="3" t="s">
        <v>25</v>
      </c>
    </row>
    <row r="4" ht="27.75" customHeight="1">
      <c r="A4" s="4" t="s">
        <v>26</v>
      </c>
      <c r="B4" s="13">
        <v>90.0</v>
      </c>
      <c r="C4" s="14" t="s">
        <v>27</v>
      </c>
    </row>
    <row r="5" ht="27.75" customHeight="1">
      <c r="A5" s="4" t="s">
        <v>28</v>
      </c>
      <c r="B5" s="13">
        <v>50.0</v>
      </c>
      <c r="C5" s="14" t="s">
        <v>29</v>
      </c>
    </row>
    <row r="6" ht="27.75" customHeight="1">
      <c r="A6" s="4" t="s">
        <v>30</v>
      </c>
      <c r="B6" s="15">
        <v>0.18</v>
      </c>
      <c r="C6" s="14" t="s">
        <v>31</v>
      </c>
    </row>
    <row r="7" ht="27.75" customHeight="1">
      <c r="A7" s="4" t="s">
        <v>32</v>
      </c>
      <c r="B7" s="13">
        <v>50.0</v>
      </c>
      <c r="C7" s="14" t="s">
        <v>33</v>
      </c>
    </row>
    <row r="8" ht="27.75" customHeight="1">
      <c r="A8" s="4" t="s">
        <v>34</v>
      </c>
      <c r="B8" s="13">
        <v>40.0</v>
      </c>
      <c r="C8" s="14" t="s">
        <v>35</v>
      </c>
    </row>
    <row r="9" ht="27.75" customHeight="1">
      <c r="A9" s="4" t="s">
        <v>36</v>
      </c>
      <c r="B9" s="15">
        <v>0.06</v>
      </c>
      <c r="C9" s="14" t="s">
        <v>37</v>
      </c>
    </row>
    <row r="10" ht="27.75" customHeight="1">
      <c r="A10" s="4" t="s">
        <v>38</v>
      </c>
      <c r="B10" s="16">
        <v>1.2</v>
      </c>
      <c r="C10" s="14" t="s">
        <v>39</v>
      </c>
    </row>
    <row r="11" ht="27.75" customHeight="1">
      <c r="A11" s="4" t="s">
        <v>40</v>
      </c>
      <c r="B11" s="13">
        <v>150.0</v>
      </c>
      <c r="C11" s="14" t="s">
        <v>41</v>
      </c>
    </row>
    <row r="12" ht="27.75" customHeight="1">
      <c r="A12" s="4" t="s">
        <v>42</v>
      </c>
      <c r="B12" s="16">
        <v>0.5</v>
      </c>
      <c r="C12" s="14" t="s">
        <v>43</v>
      </c>
    </row>
    <row r="14">
      <c r="A14" s="11" t="s">
        <v>44</v>
      </c>
    </row>
    <row r="15" ht="45.0" customHeight="1">
      <c r="A15" s="3" t="s">
        <v>2</v>
      </c>
      <c r="B15" s="3" t="s">
        <v>3</v>
      </c>
      <c r="C15" s="3" t="s">
        <v>45</v>
      </c>
      <c r="D15" s="3" t="s">
        <v>46</v>
      </c>
      <c r="E15" s="3" t="s">
        <v>47</v>
      </c>
      <c r="F15" s="3" t="s">
        <v>48</v>
      </c>
      <c r="G15" s="3" t="s">
        <v>49</v>
      </c>
    </row>
    <row r="16">
      <c r="A16" s="4" t="s">
        <v>50</v>
      </c>
      <c r="B16" s="13">
        <v>699.0</v>
      </c>
      <c r="C16" s="13">
        <v>110.0</v>
      </c>
      <c r="D16" s="16">
        <v>0.8</v>
      </c>
      <c r="E16" s="16">
        <v>1.1</v>
      </c>
      <c r="F16" s="13">
        <v>20.0</v>
      </c>
      <c r="G16" s="13">
        <v>58.0</v>
      </c>
    </row>
    <row r="17">
      <c r="A17" s="4" t="s">
        <v>51</v>
      </c>
      <c r="B17" s="13">
        <v>549.0</v>
      </c>
      <c r="C17" s="13">
        <v>90.0</v>
      </c>
      <c r="D17" s="16">
        <v>0.5</v>
      </c>
      <c r="E17" s="16">
        <v>0.7</v>
      </c>
      <c r="F17" s="13">
        <v>20.0</v>
      </c>
      <c r="G17" s="13">
        <v>43.0</v>
      </c>
    </row>
    <row r="18">
      <c r="A18" s="4" t="s">
        <v>52</v>
      </c>
      <c r="B18" s="13">
        <v>449.0</v>
      </c>
      <c r="C18" s="13">
        <v>70.0</v>
      </c>
      <c r="D18" s="16">
        <v>0.4</v>
      </c>
      <c r="E18" s="16">
        <v>0.55</v>
      </c>
      <c r="F18" s="13">
        <v>18.0</v>
      </c>
      <c r="G18" s="13">
        <v>43.0</v>
      </c>
    </row>
    <row r="19">
      <c r="A19" s="4" t="s">
        <v>53</v>
      </c>
      <c r="B19" s="13">
        <v>349.0</v>
      </c>
      <c r="C19" s="13">
        <v>60.0</v>
      </c>
      <c r="D19" s="16">
        <v>0.2</v>
      </c>
      <c r="E19" s="16">
        <v>0.35</v>
      </c>
      <c r="F19" s="13">
        <v>15.0</v>
      </c>
      <c r="G19" s="13">
        <v>25.0</v>
      </c>
    </row>
    <row r="20">
      <c r="A20" s="4" t="s">
        <v>54</v>
      </c>
      <c r="B20" s="13">
        <v>299.0</v>
      </c>
      <c r="C20" s="13">
        <v>60.0</v>
      </c>
      <c r="D20" s="16">
        <v>0.15</v>
      </c>
      <c r="E20" s="16">
        <v>0.3</v>
      </c>
      <c r="F20" s="13">
        <v>12.0</v>
      </c>
      <c r="G20" s="13">
        <v>25.0</v>
      </c>
    </row>
    <row r="21" ht="15.75" customHeight="1">
      <c r="A21" s="2" t="s">
        <v>55</v>
      </c>
    </row>
    <row r="22" ht="15.75" customHeight="1"/>
    <row r="23" ht="15.75" customHeight="1">
      <c r="A23" s="11" t="s">
        <v>56</v>
      </c>
    </row>
    <row r="24" ht="31.5" customHeight="1">
      <c r="A24" s="3" t="s">
        <v>15</v>
      </c>
      <c r="B24" s="3" t="s">
        <v>3</v>
      </c>
      <c r="C24" s="3" t="s">
        <v>57</v>
      </c>
      <c r="D24" s="3" t="s">
        <v>47</v>
      </c>
    </row>
    <row r="25" ht="15.75" customHeight="1">
      <c r="A25" s="4" t="s">
        <v>58</v>
      </c>
      <c r="B25" s="13">
        <v>1199.0</v>
      </c>
      <c r="C25" s="13">
        <v>70.0</v>
      </c>
      <c r="D25" s="16">
        <v>1.65</v>
      </c>
    </row>
    <row r="26" ht="15.75" customHeight="1">
      <c r="A26" s="4" t="s">
        <v>59</v>
      </c>
      <c r="B26" s="13">
        <v>2299.0</v>
      </c>
      <c r="C26" s="13">
        <v>110.0</v>
      </c>
      <c r="D26" s="16">
        <v>2.85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13" width="15.0"/>
  </cols>
  <sheetData>
    <row r="1">
      <c r="A1" s="1" t="s">
        <v>60</v>
      </c>
    </row>
    <row r="3">
      <c r="A3" s="12" t="s">
        <v>61</v>
      </c>
      <c r="B3" s="17" t="str">
        <f>SUM(Assumptions!D16:D20)*Assumptions!B10</f>
        <v>2.46</v>
      </c>
    </row>
    <row r="4">
      <c r="A4" s="12" t="s">
        <v>62</v>
      </c>
      <c r="B4" s="18" t="str">
        <f>ROUNDUP(B3/Assumptions!B12,0)</f>
        <v>5</v>
      </c>
    </row>
    <row r="5">
      <c r="A5" s="12" t="s">
        <v>63</v>
      </c>
      <c r="B5" s="5" t="str">
        <f>(Assumptions!B4+(B4-1)*Assumptions!B5)*(1+Assumptions!B6)</f>
        <v>₹342</v>
      </c>
    </row>
    <row r="8" ht="48.0" customHeight="1">
      <c r="A8" s="3" t="s">
        <v>2</v>
      </c>
      <c r="B8" s="3" t="s">
        <v>3</v>
      </c>
      <c r="C8" s="3" t="s">
        <v>4</v>
      </c>
      <c r="D8" s="3" t="s">
        <v>64</v>
      </c>
      <c r="E8" s="3" t="s">
        <v>65</v>
      </c>
      <c r="F8" s="3" t="s">
        <v>7</v>
      </c>
      <c r="G8" s="3" t="s">
        <v>66</v>
      </c>
      <c r="H8" s="3" t="s">
        <v>8</v>
      </c>
      <c r="I8" s="3" t="s">
        <v>67</v>
      </c>
      <c r="J8" s="3" t="s">
        <v>10</v>
      </c>
      <c r="K8" s="3" t="s">
        <v>11</v>
      </c>
      <c r="L8" s="3" t="s">
        <v>12</v>
      </c>
      <c r="M8" s="3" t="s">
        <v>13</v>
      </c>
    </row>
    <row r="9">
      <c r="A9" s="4" t="str">
        <f>Assumptions!A16</f>
        <v>Laptop stand</v>
      </c>
      <c r="B9" s="5" t="str">
        <f>Assumptions!B16</f>
        <v>₹699</v>
      </c>
      <c r="C9" s="5" t="str">
        <f>Assumptions!C16</f>
        <v>₹110</v>
      </c>
      <c r="D9" s="5" t="str">
        <f>$B$5*Assumptions!D16/SUM(Assumptions!$D$16:$D$20)</f>
        <v>₹134</v>
      </c>
      <c r="E9" s="5" t="str">
        <f>Assumptions!F16</f>
        <v>₹20</v>
      </c>
      <c r="F9" s="5" t="str">
        <f>Assumptions!G16</f>
        <v>₹58</v>
      </c>
      <c r="G9" s="18" t="str">
        <f>ROUNDUP(Assumptions!E16/Assumptions!$B$12,0)</f>
        <v>3</v>
      </c>
      <c r="H9" s="5" t="str">
        <f>(Assumptions!$B$7+(G9-1)*Assumptions!$B$8)*(1+Assumptions!$B$6)</f>
        <v>₹153</v>
      </c>
      <c r="I9" s="5" t="str">
        <f>B9*Assumptions!$B$9</f>
        <v>₹42</v>
      </c>
      <c r="J9" s="5" t="str">
        <f t="shared" ref="J9:J13" si="1">C9+D9+E9+F9+H9+I9</f>
        <v>₹517</v>
      </c>
      <c r="K9" s="6" t="str">
        <f t="shared" ref="K9:K13" si="2">B9-J9</f>
        <v>₹182</v>
      </c>
      <c r="L9" s="7" t="str">
        <f t="shared" ref="L9:L14" si="3">IF(B9=0,0,K9/B9)</f>
        <v>26.1%</v>
      </c>
      <c r="M9" s="5" t="str">
        <f>K9-Assumptions!$B$11</f>
        <v>₹32</v>
      </c>
    </row>
    <row r="10">
      <c r="A10" s="4" t="str">
        <f>Assumptions!A17</f>
        <v>Headphone stand</v>
      </c>
      <c r="B10" s="5" t="str">
        <f>Assumptions!B17</f>
        <v>₹549</v>
      </c>
      <c r="C10" s="5" t="str">
        <f>Assumptions!C17</f>
        <v>₹90</v>
      </c>
      <c r="D10" s="5" t="str">
        <f>$B$5*Assumptions!D17/SUM(Assumptions!$D$16:$D$20)</f>
        <v>₹83</v>
      </c>
      <c r="E10" s="5" t="str">
        <f>Assumptions!F17</f>
        <v>₹20</v>
      </c>
      <c r="F10" s="5" t="str">
        <f>Assumptions!G17</f>
        <v>₹43</v>
      </c>
      <c r="G10" s="18" t="str">
        <f>ROUNDUP(Assumptions!E17/Assumptions!$B$12,0)</f>
        <v>2</v>
      </c>
      <c r="H10" s="5" t="str">
        <f>(Assumptions!$B$7+(G10-1)*Assumptions!$B$8)*(1+Assumptions!$B$6)</f>
        <v>₹106</v>
      </c>
      <c r="I10" s="5" t="str">
        <f>B10*Assumptions!$B$9</f>
        <v>₹33</v>
      </c>
      <c r="J10" s="5" t="str">
        <f t="shared" si="1"/>
        <v>₹376</v>
      </c>
      <c r="K10" s="6" t="str">
        <f t="shared" si="2"/>
        <v>₹173</v>
      </c>
      <c r="L10" s="7" t="str">
        <f t="shared" si="3"/>
        <v>31.6%</v>
      </c>
      <c r="M10" s="5" t="str">
        <f>K10-Assumptions!$B$11</f>
        <v>₹23</v>
      </c>
    </row>
    <row r="11">
      <c r="A11" s="4" t="str">
        <f>Assumptions!A18</f>
        <v>Tablet stand</v>
      </c>
      <c r="B11" s="5" t="str">
        <f>Assumptions!B18</f>
        <v>₹449</v>
      </c>
      <c r="C11" s="5" t="str">
        <f>Assumptions!C18</f>
        <v>₹70</v>
      </c>
      <c r="D11" s="5" t="str">
        <f>$B$5*Assumptions!D18/SUM(Assumptions!$D$16:$D$20)</f>
        <v>₹67</v>
      </c>
      <c r="E11" s="5" t="str">
        <f>Assumptions!F18</f>
        <v>₹18</v>
      </c>
      <c r="F11" s="5" t="str">
        <f>Assumptions!G18</f>
        <v>₹43</v>
      </c>
      <c r="G11" s="18" t="str">
        <f>ROUNDUP(Assumptions!E18/Assumptions!$B$12,0)</f>
        <v>2</v>
      </c>
      <c r="H11" s="5" t="str">
        <f>(Assumptions!$B$7+(G11-1)*Assumptions!$B$8)*(1+Assumptions!$B$6)</f>
        <v>₹106</v>
      </c>
      <c r="I11" s="5" t="str">
        <f>B11*Assumptions!$B$9</f>
        <v>₹27</v>
      </c>
      <c r="J11" s="5" t="str">
        <f t="shared" si="1"/>
        <v>₹331</v>
      </c>
      <c r="K11" s="6" t="str">
        <f t="shared" si="2"/>
        <v>₹118</v>
      </c>
      <c r="L11" s="7" t="str">
        <f t="shared" si="3"/>
        <v>26.3%</v>
      </c>
      <c r="M11" s="5" t="str">
        <f>K11-Assumptions!$B$11</f>
        <v>(₹32)</v>
      </c>
    </row>
    <row r="12">
      <c r="A12" s="4" t="str">
        <f>Assumptions!A19</f>
        <v>Mobile stand</v>
      </c>
      <c r="B12" s="5" t="str">
        <f>Assumptions!B19</f>
        <v>₹349</v>
      </c>
      <c r="C12" s="5" t="str">
        <f>Assumptions!C19</f>
        <v>₹60</v>
      </c>
      <c r="D12" s="5" t="str">
        <f>$B$5*Assumptions!D19/SUM(Assumptions!$D$16:$D$20)</f>
        <v>₹33</v>
      </c>
      <c r="E12" s="5" t="str">
        <f>Assumptions!F19</f>
        <v>₹15</v>
      </c>
      <c r="F12" s="5" t="str">
        <f>Assumptions!G19</f>
        <v>₹25</v>
      </c>
      <c r="G12" s="18" t="str">
        <f>ROUNDUP(Assumptions!E19/Assumptions!$B$12,0)</f>
        <v>1</v>
      </c>
      <c r="H12" s="5" t="str">
        <f>(Assumptions!$B$7+(G12-1)*Assumptions!$B$8)*(1+Assumptions!$B$6)</f>
        <v>₹59</v>
      </c>
      <c r="I12" s="5" t="str">
        <f>B12*Assumptions!$B$9</f>
        <v>₹21</v>
      </c>
      <c r="J12" s="5" t="str">
        <f t="shared" si="1"/>
        <v>₹213</v>
      </c>
      <c r="K12" s="6" t="str">
        <f t="shared" si="2"/>
        <v>₹136</v>
      </c>
      <c r="L12" s="7" t="str">
        <f t="shared" si="3"/>
        <v>38.9%</v>
      </c>
      <c r="M12" s="5" t="str">
        <f>K12-Assumptions!$B$11</f>
        <v>(₹14)</v>
      </c>
    </row>
    <row r="13">
      <c r="A13" s="4" t="str">
        <f>Assumptions!A20</f>
        <v>Cable holder</v>
      </c>
      <c r="B13" s="5" t="str">
        <f>Assumptions!B20</f>
        <v>₹299</v>
      </c>
      <c r="C13" s="5" t="str">
        <f>Assumptions!C20</f>
        <v>₹60</v>
      </c>
      <c r="D13" s="5" t="str">
        <f>$B$5*Assumptions!D20/SUM(Assumptions!$D$16:$D$20)</f>
        <v>₹25</v>
      </c>
      <c r="E13" s="5" t="str">
        <f>Assumptions!F20</f>
        <v>₹12</v>
      </c>
      <c r="F13" s="5" t="str">
        <f>Assumptions!G20</f>
        <v>₹25</v>
      </c>
      <c r="G13" s="18" t="str">
        <f>ROUNDUP(Assumptions!E20/Assumptions!$B$12,0)</f>
        <v>1</v>
      </c>
      <c r="H13" s="5" t="str">
        <f>(Assumptions!$B$7+(G13-1)*Assumptions!$B$8)*(1+Assumptions!$B$6)</f>
        <v>₹59</v>
      </c>
      <c r="I13" s="5" t="str">
        <f>B13*Assumptions!$B$9</f>
        <v>₹18</v>
      </c>
      <c r="J13" s="5" t="str">
        <f t="shared" si="1"/>
        <v>₹199</v>
      </c>
      <c r="K13" s="6" t="str">
        <f t="shared" si="2"/>
        <v>₹100</v>
      </c>
      <c r="L13" s="7" t="str">
        <f t="shared" si="3"/>
        <v>33.5%</v>
      </c>
      <c r="M13" s="5" t="str">
        <f>K13-Assumptions!$B$11</f>
        <v>(₹50)</v>
      </c>
    </row>
    <row r="14">
      <c r="A14" s="8" t="s">
        <v>14</v>
      </c>
      <c r="B14" s="9" t="str">
        <f t="shared" ref="B14:F14" si="4">SUM(B9:B13)</f>
        <v>₹2,345</v>
      </c>
      <c r="C14" s="9" t="str">
        <f t="shared" si="4"/>
        <v>₹390</v>
      </c>
      <c r="D14" s="9" t="str">
        <f t="shared" si="4"/>
        <v>₹342</v>
      </c>
      <c r="E14" s="9" t="str">
        <f t="shared" si="4"/>
        <v>₹85</v>
      </c>
      <c r="F14" s="9" t="str">
        <f t="shared" si="4"/>
        <v>₹194</v>
      </c>
      <c r="G14" s="8"/>
      <c r="H14" s="9" t="str">
        <f t="shared" ref="H14:K14" si="5">SUM(H9:H13)</f>
        <v>₹484</v>
      </c>
      <c r="I14" s="9" t="str">
        <f t="shared" si="5"/>
        <v>₹141</v>
      </c>
      <c r="J14" s="9" t="str">
        <f t="shared" si="5"/>
        <v>₹1,636</v>
      </c>
      <c r="K14" s="9" t="str">
        <f t="shared" si="5"/>
        <v>₹709</v>
      </c>
      <c r="L14" s="10" t="str">
        <f t="shared" si="3"/>
        <v>30.2%</v>
      </c>
      <c r="M14" s="9" t="str">
        <f>SUM(M9:M13)</f>
        <v>(₹41)</v>
      </c>
    </row>
    <row r="16">
      <c r="A16" s="2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13" width="15.0"/>
  </cols>
  <sheetData>
    <row r="1">
      <c r="A1" s="1" t="s">
        <v>69</v>
      </c>
    </row>
    <row r="3" ht="48.0" customHeight="1">
      <c r="A3" s="3" t="s">
        <v>15</v>
      </c>
      <c r="B3" s="3" t="s">
        <v>3</v>
      </c>
      <c r="C3" s="3" t="s">
        <v>4</v>
      </c>
      <c r="D3" s="3" t="s">
        <v>70</v>
      </c>
      <c r="E3" s="3" t="s">
        <v>65</v>
      </c>
      <c r="F3" s="3" t="s">
        <v>7</v>
      </c>
      <c r="G3" s="3" t="s">
        <v>66</v>
      </c>
      <c r="H3" s="3" t="s">
        <v>8</v>
      </c>
      <c r="I3" s="3" t="s">
        <v>67</v>
      </c>
      <c r="J3" s="3" t="s">
        <v>10</v>
      </c>
      <c r="K3" s="3" t="s">
        <v>11</v>
      </c>
      <c r="L3" s="3" t="s">
        <v>12</v>
      </c>
      <c r="M3" s="3" t="s">
        <v>13</v>
      </c>
    </row>
    <row r="4">
      <c r="A4" s="4" t="str">
        <f>Assumptions!A25</f>
        <v>Work-from-home set (laptop + mobile + cable holder)</v>
      </c>
      <c r="B4" s="5" t="str">
        <f>Assumptions!B25</f>
        <v>₹1,199</v>
      </c>
      <c r="C4" s="5" t="str">
        <f>'Per Item'!C9+'Per Item'!C12+'Per Item'!C13</f>
        <v>₹230</v>
      </c>
      <c r="D4" s="5" t="str">
        <f>'Per Item'!D9+'Per Item'!D12+'Per Item'!D13</f>
        <v>₹192</v>
      </c>
      <c r="E4" s="5" t="str">
        <f>'Per Item'!E9+'Per Item'!E12+'Per Item'!E13</f>
        <v>₹47</v>
      </c>
      <c r="F4" s="5" t="str">
        <f>Assumptions!C25</f>
        <v>₹70</v>
      </c>
      <c r="G4" s="18" t="str">
        <f>ROUNDUP(Assumptions!D25/Assumptions!$B$12,0)</f>
        <v>4</v>
      </c>
      <c r="H4" s="5" t="str">
        <f>(Assumptions!$B$7+(G4-1)*Assumptions!$B$8)*(1+Assumptions!$B$6)</f>
        <v>₹201</v>
      </c>
      <c r="I4" s="5" t="str">
        <f>B4*Assumptions!$B$9</f>
        <v>₹72</v>
      </c>
      <c r="J4" s="5" t="str">
        <f t="shared" ref="J4:J5" si="1">C4+D4+E4+F4+H4+I4</f>
        <v>₹812</v>
      </c>
      <c r="K4" s="6" t="str">
        <f t="shared" ref="K4:K5" si="2">B4-J4</f>
        <v>₹387</v>
      </c>
      <c r="L4" s="7" t="str">
        <f t="shared" ref="L4:L5" si="3">IF(B4=0,0,K4/B4)</f>
        <v>32.3%</v>
      </c>
      <c r="M4" s="5" t="str">
        <f>K4-Assumptions!$B$11</f>
        <v>₹237</v>
      </c>
    </row>
    <row r="5">
      <c r="A5" s="4" t="str">
        <f>Assumptions!A26</f>
        <v>Full set (all 5 items)</v>
      </c>
      <c r="B5" s="5" t="str">
        <f>Assumptions!B26</f>
        <v>₹2,299</v>
      </c>
      <c r="C5" s="5" t="str">
        <f>'Per Item'!C9+'Per Item'!C10+'Per Item'!C11+'Per Item'!C12+'Per Item'!C13</f>
        <v>₹390</v>
      </c>
      <c r="D5" s="5" t="str">
        <f>'Per Item'!D9+'Per Item'!D10+'Per Item'!D11+'Per Item'!D12+'Per Item'!D13</f>
        <v>₹342</v>
      </c>
      <c r="E5" s="5" t="str">
        <f>'Per Item'!E9+'Per Item'!E10+'Per Item'!E11+'Per Item'!E12+'Per Item'!E13</f>
        <v>₹85</v>
      </c>
      <c r="F5" s="5" t="str">
        <f>Assumptions!C26</f>
        <v>₹110</v>
      </c>
      <c r="G5" s="18" t="str">
        <f>ROUNDUP(Assumptions!D26/Assumptions!$B$12,0)</f>
        <v>6</v>
      </c>
      <c r="H5" s="5" t="str">
        <f>(Assumptions!$B$7+(G5-1)*Assumptions!$B$8)*(1+Assumptions!$B$6)</f>
        <v>₹295</v>
      </c>
      <c r="I5" s="5" t="str">
        <f>B5*Assumptions!$B$9</f>
        <v>₹138</v>
      </c>
      <c r="J5" s="5" t="str">
        <f t="shared" si="1"/>
        <v>₹1,360</v>
      </c>
      <c r="K5" s="6" t="str">
        <f t="shared" si="2"/>
        <v>₹939</v>
      </c>
      <c r="L5" s="7" t="str">
        <f t="shared" si="3"/>
        <v>40.8%</v>
      </c>
      <c r="M5" s="5" t="str">
        <f>K5-Assumptions!$B$11</f>
        <v>₹789</v>
      </c>
    </row>
    <row r="7">
      <c r="A7" s="11" t="s">
        <v>71</v>
      </c>
    </row>
    <row r="8">
      <c r="A8" s="4" t="s">
        <v>72</v>
      </c>
      <c r="B8" s="6" t="str">
        <f>'Per Item'!K9+'Per Item'!K12+'Per Item'!K13</f>
        <v>₹418</v>
      </c>
    </row>
    <row r="9">
      <c r="A9" s="4" t="s">
        <v>73</v>
      </c>
      <c r="B9" s="6" t="str">
        <f>'Per Item'!K14</f>
        <v>₹709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4.0"/>
    <col customWidth="1" min="3" max="3" width="70.0"/>
    <col customWidth="1" min="4" max="4" width="55.0"/>
    <col customWidth="1" min="5" max="11" width="8.71"/>
  </cols>
  <sheetData>
    <row r="1">
      <c r="A1" s="1" t="s">
        <v>74</v>
      </c>
    </row>
    <row r="3">
      <c r="A3" s="3" t="s">
        <v>2</v>
      </c>
      <c r="B3" s="3" t="s">
        <v>75</v>
      </c>
      <c r="C3" s="3" t="s">
        <v>76</v>
      </c>
      <c r="D3" s="3" t="s">
        <v>77</v>
      </c>
    </row>
    <row r="4" ht="78.0" customHeight="1">
      <c r="A4" s="14" t="s">
        <v>78</v>
      </c>
      <c r="B4" s="14" t="s">
        <v>79</v>
      </c>
      <c r="C4" s="14" t="s">
        <v>80</v>
      </c>
      <c r="D4" s="14" t="s">
        <v>81</v>
      </c>
    </row>
    <row r="5" ht="78.0" customHeight="1">
      <c r="A5" s="14" t="s">
        <v>82</v>
      </c>
      <c r="B5" s="14" t="s">
        <v>83</v>
      </c>
      <c r="C5" s="14" t="s">
        <v>84</v>
      </c>
      <c r="D5" s="14" t="s">
        <v>85</v>
      </c>
    </row>
    <row r="6" ht="78.0" customHeight="1">
      <c r="A6" s="14" t="s">
        <v>86</v>
      </c>
      <c r="B6" s="14" t="s">
        <v>87</v>
      </c>
      <c r="C6" s="14" t="s">
        <v>88</v>
      </c>
      <c r="D6" s="14" t="s">
        <v>89</v>
      </c>
    </row>
    <row r="7" ht="78.0" customHeight="1">
      <c r="A7" s="14" t="s">
        <v>90</v>
      </c>
      <c r="B7" s="14" t="s">
        <v>91</v>
      </c>
      <c r="C7" s="14" t="s">
        <v>92</v>
      </c>
      <c r="D7" s="14" t="s">
        <v>93</v>
      </c>
    </row>
    <row r="8" ht="78.0" customHeight="1">
      <c r="A8" s="14" t="s">
        <v>94</v>
      </c>
      <c r="B8" s="14" t="s">
        <v>95</v>
      </c>
      <c r="C8" s="14" t="s">
        <v>96</v>
      </c>
      <c r="D8" s="14" t="s">
        <v>97</v>
      </c>
    </row>
    <row r="9" ht="78.0" customHeight="1">
      <c r="A9" s="14" t="s">
        <v>98</v>
      </c>
      <c r="B9" s="14" t="s">
        <v>99</v>
      </c>
      <c r="C9" s="14" t="s">
        <v>100</v>
      </c>
      <c r="D9" s="14" t="s">
        <v>101</v>
      </c>
    </row>
    <row r="11">
      <c r="A11" s="2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2026-10-19T08:12:54Z</dcterms:created>
  <dc:creator>openpyxl</dc:creator>
  <dc:description/>
  <dc:language>en-US</dc:language>
  <cp:lastModifiedBy/>
  <dcterms:modified xsi:type="dcterms:W3CDTF">2026-10-19T08:12:54Z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