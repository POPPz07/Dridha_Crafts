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35a5f6ec5370055/Desktop/"/>
    </mc:Choice>
  </mc:AlternateContent>
  <xr:revisionPtr revIDLastSave="1" documentId="11_C51A78C350BD7EBA40CFC920F5A6A6B5BD084F1C" xr6:coauthVersionLast="47" xr6:coauthVersionMax="47" xr10:uidLastSave="{BBA4B4F8-8483-4319-BA30-53D80FBD074E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K9" i="1" l="1"/>
  <c r="K10" i="1"/>
  <c r="K13" i="1"/>
  <c r="K14" i="1"/>
  <c r="K3" i="1"/>
  <c r="K4" i="1"/>
  <c r="K5" i="1"/>
  <c r="K6" i="1"/>
  <c r="K7" i="1"/>
  <c r="K2" i="1"/>
  <c r="J14" i="1"/>
  <c r="I14" i="1"/>
  <c r="H14" i="1"/>
  <c r="B14" i="1"/>
  <c r="J13" i="1"/>
  <c r="I13" i="1"/>
  <c r="H13" i="1"/>
  <c r="B13" i="1"/>
  <c r="J10" i="1"/>
  <c r="I10" i="1"/>
  <c r="H10" i="1"/>
  <c r="B10" i="1"/>
  <c r="J9" i="1"/>
  <c r="I9" i="1"/>
  <c r="H9" i="1"/>
  <c r="B9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<sst xmlns="http://schemas.openxmlformats.org/spreadsheetml/2006/main" count="21" uniqueCount="20">
  <si>
    <t>Selling price</t>
  </si>
  <si>
    <t>Discounted Price</t>
  </si>
  <si>
    <t>Speed Post to Pune</t>
  </si>
  <si>
    <t>Finishing (oil, wax, sandpaper)</t>
  </si>
  <si>
    <t>Packing in Pune</t>
  </si>
  <si>
    <t>Shiprocket to customer (incl. GST)</t>
  </si>
  <si>
    <t>total</t>
  </si>
  <si>
    <t>profit</t>
  </si>
  <si>
    <t>margin</t>
  </si>
  <si>
    <t>Fixed Laptop Stand (Incl Rs 40 Delivery Fee)</t>
  </si>
  <si>
    <t>Signature Fixed Laptop stand(Free Delivery)</t>
  </si>
  <si>
    <t>ShiftDesk Stand (Free Delivery)</t>
  </si>
  <si>
    <t>Signature ShiftDesk stand(Free Delivery)</t>
  </si>
  <si>
    <t>Mobile Stand (Free Delivery)</t>
  </si>
  <si>
    <t>Cable Holder (Free Delivery)</t>
  </si>
  <si>
    <t>Work from Home Set(Laptop stand+Mobile stand + Cable Holder)</t>
  </si>
  <si>
    <t>Work from Home Set(ShiftDesk +Mobile stand + Cable Holder)</t>
  </si>
  <si>
    <t>SIGNATURE-</t>
  </si>
  <si>
    <t>Work from Home Set(ShiftDesk+Mobile stand + Cable Holder)</t>
  </si>
  <si>
    <t>Profit distribution (50%)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</si>
</sst>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9"/>
      <color rgb="FFFFFFFF"/>
      <name val="Arial"/>
      <charset val="134"/>
    </font>
    <font>
      <b/>
      <sz val="10"/>
      <color rgb="FF000000"/>
      <name val="Arial"/>
      <charset val="134"/>
    </font>
    <font>
      <b/>
      <sz val="11"/>
      <color theme="1"/>
      <name val="Calibri"/>
      <charset val="134"/>
      <scheme val="minor"/>
    </font>
    <font>
      <b/>
      <sz val="9"/>
      <color rgb="FFFFFFFF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3A1E"/>
        <bgColor rgb="FF5B3A1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2" borderId="0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K1" sqref="K1"/>
    </sheetView>
  </sheetViews>
  <sheetFormatPr defaultColWidth="9" defaultRowHeight="14.4"/>
  <cols>
    <col min="1" max="1" width="59" style="1" customWidth="1"/>
    <col min="2" max="3" width="16.77734375" customWidth="1"/>
    <col min="4" max="4" width="13.6640625" customWidth="1"/>
    <col min="5" max="5" width="15.21875" customWidth="1"/>
    <col min="6" max="6" width="15.5546875" customWidth="1"/>
    <col min="7" max="7" width="16.21875" customWidth="1"/>
    <col min="8" max="8" width="15" customWidth="1"/>
    <col min="9" max="9" width="8.109375" customWidth="1"/>
    <col min="11" max="11" width="13.88671875" style="7" customWidth="1"/>
  </cols>
  <sheetData>
    <row r="1" spans="1:11" ht="36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6" t="s">
        <v>19</v>
      </c>
    </row>
    <row r="2" spans="1:11">
      <c r="A2" s="4" t="s">
        <v>9</v>
      </c>
      <c r="B2" s="5">
        <v>539</v>
      </c>
      <c r="C2" s="5"/>
      <c r="D2" s="5">
        <v>90</v>
      </c>
      <c r="E2" s="5">
        <v>20</v>
      </c>
      <c r="F2" s="5">
        <v>35</v>
      </c>
      <c r="G2" s="5">
        <v>100</v>
      </c>
      <c r="H2" s="5">
        <f t="shared" ref="H2:H7" si="0">SUM(D2:G2)</f>
        <v>245</v>
      </c>
      <c r="I2" s="5">
        <f t="shared" ref="I2:I7" si="1">B2-H2</f>
        <v>294</v>
      </c>
      <c r="J2" s="5">
        <f t="shared" ref="J2:J7" si="2">I2/B2*100</f>
        <v>54.545454545454497</v>
      </c>
      <c r="K2" s="7">
        <f>I2/2</f>
        <v>147</v>
      </c>
    </row>
    <row r="3" spans="1:11">
      <c r="A3" s="4" t="s">
        <v>10</v>
      </c>
      <c r="B3" s="5">
        <v>599</v>
      </c>
      <c r="C3" s="5"/>
      <c r="D3" s="5">
        <v>90</v>
      </c>
      <c r="E3" s="5">
        <v>40</v>
      </c>
      <c r="F3" s="5">
        <v>35</v>
      </c>
      <c r="G3" s="5">
        <v>100</v>
      </c>
      <c r="H3" s="5">
        <f t="shared" si="0"/>
        <v>265</v>
      </c>
      <c r="I3" s="5">
        <f t="shared" si="1"/>
        <v>334</v>
      </c>
      <c r="J3" s="5">
        <f t="shared" si="2"/>
        <v>55.759599332220397</v>
      </c>
      <c r="K3" s="7">
        <f t="shared" ref="K3:K14" si="3">I3/2</f>
        <v>167</v>
      </c>
    </row>
    <row r="4" spans="1:11">
      <c r="A4" s="4" t="s">
        <v>11</v>
      </c>
      <c r="B4" s="5">
        <v>649</v>
      </c>
      <c r="C4" s="5"/>
      <c r="D4" s="5">
        <v>90</v>
      </c>
      <c r="E4" s="5">
        <v>20</v>
      </c>
      <c r="F4" s="5">
        <v>35</v>
      </c>
      <c r="G4" s="5">
        <v>100</v>
      </c>
      <c r="H4" s="5">
        <f t="shared" si="0"/>
        <v>245</v>
      </c>
      <c r="I4" s="5">
        <f t="shared" si="1"/>
        <v>404</v>
      </c>
      <c r="J4" s="5">
        <f t="shared" si="2"/>
        <v>62.249614791987703</v>
      </c>
      <c r="K4" s="7">
        <f t="shared" si="3"/>
        <v>202</v>
      </c>
    </row>
    <row r="5" spans="1:11">
      <c r="A5" s="4" t="s">
        <v>12</v>
      </c>
      <c r="B5" s="5">
        <v>749</v>
      </c>
      <c r="C5" s="5"/>
      <c r="D5" s="5">
        <v>90</v>
      </c>
      <c r="E5" s="5">
        <v>40</v>
      </c>
      <c r="F5" s="5">
        <v>35</v>
      </c>
      <c r="G5" s="5">
        <v>100</v>
      </c>
      <c r="H5" s="5">
        <f t="shared" si="0"/>
        <v>265</v>
      </c>
      <c r="I5" s="5">
        <f t="shared" si="1"/>
        <v>484</v>
      </c>
      <c r="J5" s="5">
        <f t="shared" si="2"/>
        <v>64.619492656875806</v>
      </c>
      <c r="K5" s="7">
        <f t="shared" si="3"/>
        <v>242</v>
      </c>
    </row>
    <row r="6" spans="1:11">
      <c r="A6" s="4" t="s">
        <v>13</v>
      </c>
      <c r="B6" s="5">
        <v>349</v>
      </c>
      <c r="C6" s="5"/>
      <c r="D6" s="5">
        <v>33</v>
      </c>
      <c r="E6" s="5">
        <v>15</v>
      </c>
      <c r="F6" s="5">
        <v>25</v>
      </c>
      <c r="G6" s="5">
        <v>80</v>
      </c>
      <c r="H6" s="5">
        <f t="shared" si="0"/>
        <v>153</v>
      </c>
      <c r="I6" s="5">
        <f t="shared" si="1"/>
        <v>196</v>
      </c>
      <c r="J6" s="5">
        <f t="shared" si="2"/>
        <v>56.160458452722096</v>
      </c>
      <c r="K6" s="7">
        <f t="shared" si="3"/>
        <v>98</v>
      </c>
    </row>
    <row r="7" spans="1:11">
      <c r="A7" s="4" t="s">
        <v>14</v>
      </c>
      <c r="B7" s="5">
        <v>299</v>
      </c>
      <c r="C7" s="5"/>
      <c r="D7" s="5">
        <v>22</v>
      </c>
      <c r="E7" s="5">
        <v>15</v>
      </c>
      <c r="F7" s="5">
        <v>20</v>
      </c>
      <c r="G7" s="5">
        <v>70</v>
      </c>
      <c r="H7" s="5">
        <f t="shared" si="0"/>
        <v>127</v>
      </c>
      <c r="I7" s="5">
        <f t="shared" si="1"/>
        <v>172</v>
      </c>
      <c r="J7" s="5">
        <f t="shared" si="2"/>
        <v>57.525083612040099</v>
      </c>
      <c r="K7" s="7">
        <f t="shared" si="3"/>
        <v>86</v>
      </c>
    </row>
    <row r="8" spans="1:11">
      <c r="H8" s="5"/>
      <c r="I8" s="5"/>
      <c r="J8" s="5"/>
    </row>
    <row r="9" spans="1:11">
      <c r="A9" s="1" t="s">
        <v>15</v>
      </c>
      <c r="B9" s="5">
        <f>B2-40+B6+B7</f>
        <v>1147</v>
      </c>
      <c r="C9" s="5">
        <v>999</v>
      </c>
      <c r="D9" s="5">
        <v>140</v>
      </c>
      <c r="E9" s="5">
        <v>50</v>
      </c>
      <c r="F9" s="5">
        <v>50</v>
      </c>
      <c r="G9" s="5">
        <v>110</v>
      </c>
      <c r="H9" s="5">
        <f t="shared" ref="H9:H14" si="4">SUM(D9:G9)</f>
        <v>350</v>
      </c>
      <c r="I9" s="5">
        <f>C9-H9</f>
        <v>649</v>
      </c>
      <c r="J9" s="5">
        <f>I9/B9*100</f>
        <v>56.582388840453397</v>
      </c>
      <c r="K9" s="7">
        <f t="shared" si="3"/>
        <v>324.5</v>
      </c>
    </row>
    <row r="10" spans="1:11">
      <c r="A10" s="1" t="s">
        <v>16</v>
      </c>
      <c r="B10" s="5">
        <f>B4+B6+B7</f>
        <v>1297</v>
      </c>
      <c r="C10" s="5">
        <v>1099</v>
      </c>
      <c r="D10" s="5">
        <v>150</v>
      </c>
      <c r="E10" s="5">
        <v>60</v>
      </c>
      <c r="F10" s="5">
        <v>50</v>
      </c>
      <c r="G10" s="5">
        <v>120</v>
      </c>
      <c r="H10" s="5">
        <f t="shared" si="4"/>
        <v>380</v>
      </c>
      <c r="I10" s="5">
        <f>C10-H10</f>
        <v>719</v>
      </c>
      <c r="J10" s="5">
        <f>I10/B10*100</f>
        <v>55.435620663068597</v>
      </c>
      <c r="K10" s="7">
        <f t="shared" si="3"/>
        <v>359.5</v>
      </c>
    </row>
    <row r="11" spans="1:11">
      <c r="H11" s="5"/>
      <c r="I11" s="5"/>
      <c r="J11" s="5"/>
    </row>
    <row r="12" spans="1:11">
      <c r="A12" s="1" t="s">
        <v>17</v>
      </c>
      <c r="H12" s="5"/>
      <c r="I12" s="5"/>
      <c r="J12" s="5"/>
    </row>
    <row r="13" spans="1:11">
      <c r="A13" s="1" t="s">
        <v>15</v>
      </c>
      <c r="B13" s="5">
        <f>B3+B6+B7</f>
        <v>1247</v>
      </c>
      <c r="C13" s="5">
        <v>1099</v>
      </c>
      <c r="D13" s="5">
        <v>140</v>
      </c>
      <c r="E13" s="5">
        <v>60</v>
      </c>
      <c r="F13" s="5">
        <v>50</v>
      </c>
      <c r="G13" s="5">
        <v>110</v>
      </c>
      <c r="H13" s="5">
        <f t="shared" si="4"/>
        <v>360</v>
      </c>
      <c r="I13" s="5">
        <f>C13-H13</f>
        <v>739</v>
      </c>
      <c r="J13" s="5">
        <f>I13/B13*100</f>
        <v>59.262229350441103</v>
      </c>
      <c r="K13" s="7">
        <f t="shared" si="3"/>
        <v>369.5</v>
      </c>
    </row>
    <row r="14" spans="1:11">
      <c r="A14" s="1" t="s">
        <v>18</v>
      </c>
      <c r="B14" s="5">
        <f>B5+B6+B7</f>
        <v>1397</v>
      </c>
      <c r="C14" s="5">
        <v>1199</v>
      </c>
      <c r="D14" s="5">
        <v>150</v>
      </c>
      <c r="E14" s="5">
        <v>70</v>
      </c>
      <c r="F14" s="5">
        <v>50</v>
      </c>
      <c r="G14" s="5">
        <v>120</v>
      </c>
      <c r="H14" s="5">
        <f t="shared" si="4"/>
        <v>390</v>
      </c>
      <c r="I14" s="5">
        <f>C14-H14</f>
        <v>809</v>
      </c>
      <c r="J14" s="5">
        <f>I14/B14*100</f>
        <v>57.909806728704403</v>
      </c>
      <c r="K14" s="7">
        <f t="shared" si="3"/>
        <v>404.5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 Pawar</dc:creator>
  <cp:lastModifiedBy>Apurv Pawar</cp:lastModifiedBy>
  <dcterms:created xsi:type="dcterms:W3CDTF">2026-10-23T06:13:00Z</dcterms:created>
  <dcterms:modified xsi:type="dcterms:W3CDTF">2026-10-23T07:21:55Z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800F2B970BC0400583BDC0DCA834FD07_12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